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240" yWindow="630" windowWidth="15975" windowHeight="7290"/>
  </bookViews>
  <sheets>
    <sheet name="Hoja1" sheetId="1" r:id="rId1"/>
    <sheet name="Hoja2" sheetId="2" r:id="rId2"/>
    <sheet name="Hoja3" sheetId="3" r:id="rId3"/>
  </sheets>
  <definedNames>
    <definedName name="_xlnm.Print_Area" localSheetId="0">Hoja1!$A$1:$L$22</definedName>
  </definedNames>
  <calcPr calcId="124519"/>
</workbook>
</file>

<file path=xl/calcChain.xml><?xml version="1.0" encoding="utf-8"?>
<calcChain xmlns="http://schemas.openxmlformats.org/spreadsheetml/2006/main">
  <c r="L25" i="1"/>
  <c r="L26"/>
  <c r="L27"/>
  <c r="L28"/>
  <c r="L29"/>
  <c r="L30"/>
  <c r="L31"/>
  <c r="L32"/>
  <c r="L33"/>
  <c r="L34"/>
  <c r="L35"/>
  <c r="L36"/>
  <c r="L37"/>
  <c r="L38"/>
  <c r="L39"/>
  <c r="L40"/>
  <c r="L24"/>
  <c r="I25"/>
  <c r="I24"/>
  <c r="N24" l="1"/>
  <c r="N40"/>
  <c r="I26"/>
  <c r="N26" s="1"/>
  <c r="N25"/>
  <c r="I40"/>
  <c r="I39"/>
  <c r="N39" s="1"/>
  <c r="I38"/>
  <c r="N38" s="1"/>
  <c r="N29"/>
  <c r="N36"/>
  <c r="N37"/>
  <c r="I29"/>
  <c r="I37"/>
  <c r="I36"/>
  <c r="I35"/>
  <c r="N35" s="1"/>
  <c r="I28"/>
  <c r="N28" s="1"/>
  <c r="I34"/>
  <c r="N34" s="1"/>
  <c r="I33"/>
  <c r="N33" s="1"/>
  <c r="I32"/>
  <c r="N32" s="1"/>
  <c r="I31"/>
  <c r="N31" s="1"/>
  <c r="I30"/>
  <c r="N30" s="1"/>
  <c r="I27"/>
  <c r="N27" s="1"/>
  <c r="N41" l="1"/>
</calcChain>
</file>

<file path=xl/comments1.xml><?xml version="1.0" encoding="utf-8"?>
<comments xmlns="http://schemas.openxmlformats.org/spreadsheetml/2006/main">
  <authors>
    <author>Usuario de Windows</author>
  </authors>
  <commentList>
    <comment ref="M22" authorId="0">
      <text>
        <r>
          <rPr>
            <b/>
            <sz val="9"/>
            <color indexed="81"/>
            <rFont val="Tahoma"/>
            <charset val="1"/>
          </rPr>
          <t>Usuario de Windows:</t>
        </r>
        <r>
          <rPr>
            <sz val="9"/>
            <color indexed="81"/>
            <rFont val="Tahoma"/>
            <charset val="1"/>
          </rPr>
          <t xml:space="preserve">
dólar blue promedio
</t>
        </r>
      </text>
    </comment>
  </commentList>
</comments>
</file>

<file path=xl/sharedStrings.xml><?xml version="1.0" encoding="utf-8"?>
<sst xmlns="http://schemas.openxmlformats.org/spreadsheetml/2006/main" count="166" uniqueCount="82">
  <si>
    <t>CEMENTO</t>
  </si>
  <si>
    <t>REVOFACIL</t>
  </si>
  <si>
    <t>ARENA</t>
  </si>
  <si>
    <t>RIPIO</t>
  </si>
  <si>
    <t>AGUA</t>
  </si>
  <si>
    <t>RENDIMIENTO</t>
  </si>
  <si>
    <t>M3</t>
  </si>
  <si>
    <t>CIMIENTOS</t>
  </si>
  <si>
    <t>M2</t>
  </si>
  <si>
    <t>X BOLSA</t>
  </si>
  <si>
    <t>R BRUTO</t>
  </si>
  <si>
    <t>CONTRAPISO 8CM</t>
  </si>
  <si>
    <t>3M2</t>
  </si>
  <si>
    <t>AZOTADO</t>
  </si>
  <si>
    <t>REVOQUE GRUESO</t>
  </si>
  <si>
    <t>LADRILLOS</t>
  </si>
  <si>
    <t>9M2</t>
  </si>
  <si>
    <t xml:space="preserve"> </t>
  </si>
  <si>
    <t>CAPA AISLADORA</t>
  </si>
  <si>
    <t>4M2</t>
  </si>
  <si>
    <t>CARPETA 2,5CM</t>
  </si>
  <si>
    <t>5M2</t>
  </si>
  <si>
    <t>REVOQUE FINO</t>
  </si>
  <si>
    <t>ADHESIVO</t>
  </si>
  <si>
    <t>2,5KGXM2</t>
  </si>
  <si>
    <t>10bXM3</t>
  </si>
  <si>
    <t>8bXM3</t>
  </si>
  <si>
    <t>6bXM3</t>
  </si>
  <si>
    <t>3.5KGXM2</t>
  </si>
  <si>
    <t>8,5M2</t>
  </si>
  <si>
    <t>MAMPOSTERIA 0,15</t>
  </si>
  <si>
    <t>7KGXM2</t>
  </si>
  <si>
    <t>MAMPOSTERIA 0,12</t>
  </si>
  <si>
    <t>MAMPOSTERIA 0,18</t>
  </si>
  <si>
    <t>5KGXM2</t>
  </si>
  <si>
    <t>LOSA  13CM</t>
  </si>
  <si>
    <t>LOSA 17CM</t>
  </si>
  <si>
    <t>PRESUPUESTO</t>
  </si>
  <si>
    <t>HºAº</t>
  </si>
  <si>
    <t>Hº BRUTO FINO</t>
  </si>
  <si>
    <t>CONTRAPISO 8CM CEMENTO</t>
  </si>
  <si>
    <t>AZOTADO HERCAL</t>
  </si>
  <si>
    <t>CARPETA 2,5CM HERCAL</t>
  </si>
  <si>
    <t>CONTRAPISO 8CM HERCAL</t>
  </si>
  <si>
    <t>HERCAL</t>
  </si>
  <si>
    <t>BRUTO FINO</t>
  </si>
  <si>
    <t>LADRILLO COMUN</t>
  </si>
  <si>
    <t>HUECO 12</t>
  </si>
  <si>
    <t>HUECO 18</t>
  </si>
  <si>
    <t>MALLA</t>
  </si>
  <si>
    <t>FINO</t>
  </si>
  <si>
    <t>BOLSAS</t>
  </si>
  <si>
    <t>m3</t>
  </si>
  <si>
    <t>ud</t>
  </si>
  <si>
    <t>revoque stopkal</t>
  </si>
  <si>
    <t>m2</t>
  </si>
  <si>
    <t>stopkal</t>
  </si>
  <si>
    <t>lts</t>
  </si>
  <si>
    <t>mamposteria 0.12 stopkal</t>
  </si>
  <si>
    <t>mamposteria 0.15 stopkal</t>
  </si>
  <si>
    <t>precio dólar</t>
  </si>
  <si>
    <t>valor uss</t>
  </si>
  <si>
    <t>hierro 6</t>
  </si>
  <si>
    <t>hierro 10</t>
  </si>
  <si>
    <t>pesos</t>
  </si>
  <si>
    <t>MAMPOSTERIA 0,08</t>
  </si>
  <si>
    <t>HUECO 8</t>
  </si>
  <si>
    <t>UD</t>
  </si>
  <si>
    <t>MAMPOSTERIA 0.08</t>
  </si>
  <si>
    <t>2.7KGXM2</t>
  </si>
  <si>
    <t>BOVEDILLA 12</t>
  </si>
  <si>
    <t>BOVEDILLA 16</t>
  </si>
  <si>
    <t>12bXM3</t>
  </si>
  <si>
    <t>16bXM3</t>
  </si>
  <si>
    <t>3.6M2</t>
  </si>
  <si>
    <t>7M2</t>
  </si>
  <si>
    <t>2M2</t>
  </si>
  <si>
    <t>Hº Aº vigas</t>
  </si>
  <si>
    <t>Hº Aº columnas</t>
  </si>
  <si>
    <t>2.5M2</t>
  </si>
  <si>
    <t>1.5M2</t>
  </si>
  <si>
    <t>$unit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</si>
</sst>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2" fontId="0" fillId="0" borderId="0" xfId="0" applyNumberFormat="1"/>
    <xf numFmtId="0" fontId="0" fillId="0" borderId="7" xfId="0" applyFill="1" applyBorder="1"/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45"/>
  <sheetViews>
    <sheetView tabSelected="1" workbookViewId="0">
      <selection activeCell="C38" sqref="C38"/>
    </sheetView>
  </sheetViews>
  <sheetFormatPr baseColWidth="10" defaultRowHeight="15"/>
  <cols>
    <col min="1" max="1" width="22.85546875" style="1" customWidth="1"/>
    <col min="2" max="4" width="11.42578125" style="1"/>
    <col min="5" max="5" width="8.85546875" style="1" customWidth="1"/>
    <col min="6" max="6" width="7.85546875" style="1" customWidth="1"/>
    <col min="7" max="7" width="7.42578125" style="1" customWidth="1"/>
    <col min="8" max="8" width="14.28515625" style="1" customWidth="1"/>
    <col min="9" max="9" width="9.5703125" style="1" customWidth="1"/>
    <col min="10" max="10" width="13.28515625" style="1" customWidth="1"/>
    <col min="11" max="11" width="8.28515625" customWidth="1"/>
    <col min="12" max="12" width="12.5703125" bestFit="1" customWidth="1"/>
    <col min="14" max="14" width="12.5703125" bestFit="1" customWidth="1"/>
  </cols>
  <sheetData>
    <row r="1" spans="1:12">
      <c r="A1" s="5"/>
      <c r="B1" s="5"/>
      <c r="C1" s="13" t="s">
        <v>0</v>
      </c>
      <c r="D1" s="12" t="s">
        <v>1</v>
      </c>
      <c r="E1" s="5" t="s">
        <v>10</v>
      </c>
      <c r="F1" s="5" t="s">
        <v>2</v>
      </c>
      <c r="G1" s="5" t="s">
        <v>3</v>
      </c>
      <c r="H1" s="5" t="s">
        <v>4</v>
      </c>
      <c r="I1" s="5" t="s">
        <v>15</v>
      </c>
      <c r="J1" s="5" t="s">
        <v>5</v>
      </c>
      <c r="K1" s="5" t="s">
        <v>9</v>
      </c>
    </row>
    <row r="2" spans="1:12">
      <c r="A2" s="5" t="s">
        <v>77</v>
      </c>
      <c r="B2" s="5" t="s">
        <v>6</v>
      </c>
      <c r="C2" s="5">
        <v>1</v>
      </c>
      <c r="D2" s="5"/>
      <c r="E2" s="5"/>
      <c r="F2" s="5">
        <v>3</v>
      </c>
      <c r="G2" s="5">
        <v>3</v>
      </c>
      <c r="H2" s="5">
        <v>24</v>
      </c>
      <c r="I2" s="5"/>
      <c r="J2" s="5" t="s">
        <v>72</v>
      </c>
      <c r="K2" s="6"/>
      <c r="L2" t="s">
        <v>17</v>
      </c>
    </row>
    <row r="3" spans="1:12">
      <c r="A3" s="5" t="s">
        <v>78</v>
      </c>
      <c r="B3" s="5" t="s">
        <v>6</v>
      </c>
      <c r="C3" s="5">
        <v>1</v>
      </c>
      <c r="D3" s="5"/>
      <c r="E3" s="5"/>
      <c r="F3" s="5">
        <v>3</v>
      </c>
      <c r="G3" s="5">
        <v>4</v>
      </c>
      <c r="H3" s="5">
        <v>33</v>
      </c>
      <c r="I3" s="5"/>
      <c r="J3" s="5" t="s">
        <v>25</v>
      </c>
      <c r="K3" s="6"/>
      <c r="L3" t="s">
        <v>17</v>
      </c>
    </row>
    <row r="4" spans="1:12">
      <c r="A4" s="5" t="s">
        <v>7</v>
      </c>
      <c r="B4" s="5" t="s">
        <v>6</v>
      </c>
      <c r="C4" s="5">
        <v>1</v>
      </c>
      <c r="D4" s="5"/>
      <c r="E4" s="5">
        <v>12</v>
      </c>
      <c r="F4" s="5">
        <v>0</v>
      </c>
      <c r="G4" s="5">
        <v>0</v>
      </c>
      <c r="H4" s="5">
        <v>48</v>
      </c>
      <c r="I4" s="5"/>
      <c r="J4" s="5" t="s">
        <v>27</v>
      </c>
      <c r="K4" s="6"/>
    </row>
    <row r="5" spans="1:12">
      <c r="A5" s="5" t="s">
        <v>11</v>
      </c>
      <c r="B5" s="5" t="s">
        <v>8</v>
      </c>
      <c r="C5" s="5">
        <v>1</v>
      </c>
      <c r="D5" s="5"/>
      <c r="E5" s="5">
        <v>10</v>
      </c>
      <c r="F5" s="5">
        <v>0</v>
      </c>
      <c r="G5" s="5">
        <v>0</v>
      </c>
      <c r="H5" s="5">
        <v>37</v>
      </c>
      <c r="I5" s="5"/>
      <c r="J5" s="5" t="s">
        <v>26</v>
      </c>
      <c r="K5" s="6" t="s">
        <v>12</v>
      </c>
    </row>
    <row r="6" spans="1:12">
      <c r="A6" s="12" t="s">
        <v>11</v>
      </c>
      <c r="B6" s="5" t="s">
        <v>8</v>
      </c>
      <c r="C6" s="5"/>
      <c r="D6" s="12">
        <v>1</v>
      </c>
      <c r="E6" s="5">
        <v>10</v>
      </c>
      <c r="F6" s="5"/>
      <c r="G6" s="5"/>
      <c r="H6" s="5">
        <v>37</v>
      </c>
      <c r="I6" s="5"/>
      <c r="J6" s="5" t="s">
        <v>26</v>
      </c>
      <c r="K6" s="6" t="s">
        <v>12</v>
      </c>
    </row>
    <row r="7" spans="1:12" ht="15.75" thickBot="1">
      <c r="A7" s="5" t="s">
        <v>13</v>
      </c>
      <c r="B7" s="5" t="s">
        <v>8</v>
      </c>
      <c r="C7" s="5">
        <v>1</v>
      </c>
      <c r="D7" s="5"/>
      <c r="E7" s="5"/>
      <c r="F7" s="5">
        <v>3</v>
      </c>
      <c r="G7" s="9"/>
      <c r="H7" s="5"/>
      <c r="I7" s="5"/>
      <c r="J7" s="5"/>
      <c r="K7" s="6" t="s">
        <v>16</v>
      </c>
    </row>
    <row r="8" spans="1:12" ht="15.75" thickBot="1">
      <c r="A8" s="12" t="s">
        <v>13</v>
      </c>
      <c r="B8" s="5" t="s">
        <v>8</v>
      </c>
      <c r="C8" s="5" t="s">
        <v>17</v>
      </c>
      <c r="D8" s="12">
        <v>1</v>
      </c>
      <c r="E8" s="5"/>
      <c r="F8" s="7">
        <v>3</v>
      </c>
      <c r="G8" s="11"/>
      <c r="H8" s="8"/>
      <c r="I8" s="5"/>
      <c r="J8" s="5"/>
      <c r="K8" s="6" t="s">
        <v>16</v>
      </c>
    </row>
    <row r="9" spans="1:12">
      <c r="A9" s="12" t="s">
        <v>14</v>
      </c>
      <c r="B9" s="5" t="s">
        <v>8</v>
      </c>
      <c r="C9" s="5" t="s">
        <v>17</v>
      </c>
      <c r="D9" s="12">
        <v>1</v>
      </c>
      <c r="E9" s="5"/>
      <c r="F9" s="5">
        <v>5</v>
      </c>
      <c r="G9" s="10"/>
      <c r="H9" s="5"/>
      <c r="I9" s="5"/>
      <c r="J9" s="5" t="s">
        <v>26</v>
      </c>
      <c r="K9" s="6" t="s">
        <v>21</v>
      </c>
    </row>
    <row r="10" spans="1:12">
      <c r="A10" s="5" t="s">
        <v>18</v>
      </c>
      <c r="B10" s="5" t="s">
        <v>8</v>
      </c>
      <c r="C10" s="5">
        <v>1</v>
      </c>
      <c r="D10" s="5"/>
      <c r="E10" s="5"/>
      <c r="F10" s="5">
        <v>3</v>
      </c>
      <c r="G10" s="5"/>
      <c r="H10" s="5"/>
      <c r="I10" s="5"/>
      <c r="J10" s="5"/>
      <c r="K10" s="6" t="s">
        <v>19</v>
      </c>
    </row>
    <row r="11" spans="1:12">
      <c r="A11" s="5" t="s">
        <v>20</v>
      </c>
      <c r="B11" s="5" t="s">
        <v>8</v>
      </c>
      <c r="C11" s="5">
        <v>1</v>
      </c>
      <c r="D11" s="5"/>
      <c r="E11" s="5"/>
      <c r="F11" s="5">
        <v>4</v>
      </c>
      <c r="G11" s="5"/>
      <c r="H11" s="5"/>
      <c r="I11" s="5"/>
      <c r="J11" s="5" t="s">
        <v>73</v>
      </c>
      <c r="K11" s="6" t="s">
        <v>79</v>
      </c>
    </row>
    <row r="12" spans="1:12">
      <c r="A12" s="12" t="s">
        <v>20</v>
      </c>
      <c r="B12" s="5" t="s">
        <v>8</v>
      </c>
      <c r="C12" s="5"/>
      <c r="D12" s="12">
        <v>1</v>
      </c>
      <c r="E12" s="5"/>
      <c r="F12" s="5">
        <v>4</v>
      </c>
      <c r="G12" s="5"/>
      <c r="H12" s="5"/>
      <c r="I12" s="5"/>
      <c r="J12" s="5" t="s">
        <v>73</v>
      </c>
      <c r="K12" s="6" t="s">
        <v>79</v>
      </c>
    </row>
    <row r="13" spans="1:12">
      <c r="A13" s="5" t="s">
        <v>22</v>
      </c>
      <c r="B13" s="5" t="s">
        <v>8</v>
      </c>
      <c r="C13" s="5"/>
      <c r="D13" s="5"/>
      <c r="E13" s="5"/>
      <c r="F13" s="5"/>
      <c r="G13" s="5"/>
      <c r="H13" s="5"/>
      <c r="I13" s="5"/>
      <c r="J13" s="5" t="s">
        <v>24</v>
      </c>
      <c r="K13" s="6" t="s">
        <v>16</v>
      </c>
    </row>
    <row r="14" spans="1:12">
      <c r="A14" s="5" t="s">
        <v>23</v>
      </c>
      <c r="B14" s="5" t="s">
        <v>8</v>
      </c>
      <c r="C14" s="5"/>
      <c r="D14" s="5"/>
      <c r="E14" s="5"/>
      <c r="F14" s="5"/>
      <c r="G14" s="5"/>
      <c r="H14" s="5"/>
      <c r="I14" s="5"/>
      <c r="J14" s="5" t="s">
        <v>28</v>
      </c>
      <c r="K14" s="6" t="s">
        <v>29</v>
      </c>
    </row>
    <row r="15" spans="1:12">
      <c r="A15" s="12" t="s">
        <v>30</v>
      </c>
      <c r="B15" s="5" t="s">
        <v>8</v>
      </c>
      <c r="C15" s="5"/>
      <c r="D15" s="12">
        <v>1</v>
      </c>
      <c r="E15" s="5"/>
      <c r="F15" s="5">
        <v>5</v>
      </c>
      <c r="G15" s="5"/>
      <c r="H15" s="5"/>
      <c r="I15" s="5">
        <v>50</v>
      </c>
      <c r="J15" s="5" t="s">
        <v>31</v>
      </c>
      <c r="K15" s="6" t="s">
        <v>74</v>
      </c>
    </row>
    <row r="16" spans="1:12">
      <c r="A16" s="12" t="s">
        <v>32</v>
      </c>
      <c r="B16" s="5" t="s">
        <v>8</v>
      </c>
      <c r="C16" s="5"/>
      <c r="D16" s="12">
        <v>1</v>
      </c>
      <c r="E16" s="5"/>
      <c r="F16" s="5">
        <v>5</v>
      </c>
      <c r="G16" s="5"/>
      <c r="H16" s="5"/>
      <c r="I16" s="5">
        <v>15</v>
      </c>
      <c r="J16" s="5" t="s">
        <v>28</v>
      </c>
      <c r="K16" s="6" t="s">
        <v>75</v>
      </c>
    </row>
    <row r="17" spans="1:14">
      <c r="A17" s="12" t="s">
        <v>33</v>
      </c>
      <c r="B17" s="5" t="s">
        <v>8</v>
      </c>
      <c r="C17" s="5"/>
      <c r="D17" s="12">
        <v>1</v>
      </c>
      <c r="E17" s="5"/>
      <c r="F17" s="5">
        <v>5</v>
      </c>
      <c r="G17" s="5"/>
      <c r="H17" s="5"/>
      <c r="I17" s="5">
        <v>15</v>
      </c>
      <c r="J17" s="5" t="s">
        <v>34</v>
      </c>
      <c r="K17" s="6" t="s">
        <v>21</v>
      </c>
    </row>
    <row r="18" spans="1:14">
      <c r="A18" s="5" t="s">
        <v>35</v>
      </c>
      <c r="B18" s="5" t="s">
        <v>8</v>
      </c>
      <c r="C18" s="5">
        <v>1</v>
      </c>
      <c r="D18" s="5"/>
      <c r="E18" s="5"/>
      <c r="F18" s="5">
        <v>3</v>
      </c>
      <c r="G18" s="5">
        <v>3</v>
      </c>
      <c r="H18" s="5"/>
      <c r="I18" s="5"/>
      <c r="J18" s="5" t="s">
        <v>72</v>
      </c>
      <c r="K18" s="6" t="s">
        <v>76</v>
      </c>
    </row>
    <row r="19" spans="1:14">
      <c r="A19" s="5" t="s">
        <v>36</v>
      </c>
      <c r="B19" s="5" t="s">
        <v>8</v>
      </c>
      <c r="C19" s="5">
        <v>1</v>
      </c>
      <c r="D19" s="5"/>
      <c r="E19" s="5"/>
      <c r="F19" s="5">
        <v>3</v>
      </c>
      <c r="G19" s="5">
        <v>3</v>
      </c>
      <c r="H19" s="5"/>
      <c r="I19" s="5"/>
      <c r="J19" s="5" t="s">
        <v>72</v>
      </c>
      <c r="K19" s="6" t="s">
        <v>80</v>
      </c>
    </row>
    <row r="20" spans="1:14">
      <c r="A20" s="16" t="s">
        <v>68</v>
      </c>
      <c r="B20" s="1" t="s">
        <v>8</v>
      </c>
      <c r="D20" s="16">
        <v>1</v>
      </c>
      <c r="F20" s="1">
        <v>5</v>
      </c>
      <c r="I20" s="1">
        <v>15</v>
      </c>
      <c r="J20" s="1" t="s">
        <v>69</v>
      </c>
      <c r="K20" s="15" t="s">
        <v>16</v>
      </c>
    </row>
    <row r="22" spans="1:14">
      <c r="A22" s="1" t="s">
        <v>37</v>
      </c>
      <c r="M22" t="s">
        <v>60</v>
      </c>
      <c r="N22">
        <v>1420</v>
      </c>
    </row>
    <row r="23" spans="1:14">
      <c r="K23" t="s">
        <v>61</v>
      </c>
      <c r="L23" s="17" t="s">
        <v>81</v>
      </c>
      <c r="N23" s="1" t="s">
        <v>64</v>
      </c>
    </row>
    <row r="24" spans="1:14">
      <c r="A24" s="1" t="s">
        <v>38</v>
      </c>
      <c r="B24" s="1">
        <v>3</v>
      </c>
      <c r="C24" s="4" t="s">
        <v>6</v>
      </c>
      <c r="H24" s="1" t="s">
        <v>0</v>
      </c>
      <c r="I24" s="2">
        <f>((B24*12+B25*12+B26*6+B27/3+B29/9+B32/4+B33/2.5+B40/2+B41/1.5+B42*1.5/25))</f>
        <v>62.777777777777779</v>
      </c>
      <c r="J24" s="4" t="s">
        <v>51</v>
      </c>
      <c r="K24" s="14">
        <v>4.5999999999999996</v>
      </c>
      <c r="L24" s="14">
        <f>1*K24*$N$22</f>
        <v>6531.9999999999991</v>
      </c>
      <c r="N24" s="14">
        <f>K24*I24*N$22</f>
        <v>410064.44444444444</v>
      </c>
    </row>
    <row r="25" spans="1:14">
      <c r="A25" s="1" t="s">
        <v>39</v>
      </c>
      <c r="B25" s="1">
        <v>0</v>
      </c>
      <c r="C25" s="4" t="s">
        <v>6</v>
      </c>
      <c r="H25" s="1" t="s">
        <v>44</v>
      </c>
      <c r="I25" s="2">
        <f>(B28/3+B30/9+B31/5+B34/2.5+B37/3.6+B38/7+B39/5+B45/9)</f>
        <v>14.285714285714285</v>
      </c>
      <c r="J25" s="4" t="s">
        <v>51</v>
      </c>
      <c r="K25" s="14">
        <v>4.2</v>
      </c>
      <c r="L25" s="14">
        <f t="shared" ref="L25:L40" si="0">1*K25*$N$22</f>
        <v>5964</v>
      </c>
      <c r="N25" s="14">
        <f t="shared" ref="N25:N40" si="1">K25*I25*N$22</f>
        <v>85200</v>
      </c>
    </row>
    <row r="26" spans="1:14">
      <c r="A26" s="1" t="s">
        <v>7</v>
      </c>
      <c r="B26" s="1">
        <v>4</v>
      </c>
      <c r="C26" s="4" t="s">
        <v>6</v>
      </c>
      <c r="H26" s="1" t="s">
        <v>2</v>
      </c>
      <c r="I26" s="2">
        <f>(B24*0.65+B29*0.006+B30*0.006+B31*0.025+B32*0.02+B33*0.025+B34*0.025+B37*0.06+B38*0.025+B39*0.036+B40*0.045/2+B41*0.054/2+B45*0.15)</f>
        <v>4.0999999999999996</v>
      </c>
      <c r="J26" s="4" t="s">
        <v>52</v>
      </c>
      <c r="K26" s="14">
        <v>24.76</v>
      </c>
      <c r="L26" s="14">
        <f t="shared" si="0"/>
        <v>35159.200000000004</v>
      </c>
      <c r="N26" s="14">
        <f t="shared" si="1"/>
        <v>144152.72</v>
      </c>
    </row>
    <row r="27" spans="1:14">
      <c r="A27" s="3" t="s">
        <v>40</v>
      </c>
      <c r="B27" s="1">
        <v>0</v>
      </c>
      <c r="C27" s="4" t="s">
        <v>8</v>
      </c>
      <c r="H27" s="1" t="s">
        <v>3</v>
      </c>
      <c r="I27" s="2">
        <f>(B24*0.65+B40*0.045/2+B41*0.054/2)</f>
        <v>1.9500000000000002</v>
      </c>
      <c r="J27" s="4" t="s">
        <v>52</v>
      </c>
      <c r="K27" s="14">
        <v>46</v>
      </c>
      <c r="L27" s="14">
        <f t="shared" si="0"/>
        <v>65320</v>
      </c>
      <c r="N27" s="14">
        <f t="shared" si="1"/>
        <v>127374</v>
      </c>
    </row>
    <row r="28" spans="1:14">
      <c r="A28" s="1" t="s">
        <v>43</v>
      </c>
      <c r="B28" s="1">
        <v>0</v>
      </c>
      <c r="C28" s="4" t="s">
        <v>8</v>
      </c>
      <c r="H28" s="1" t="s">
        <v>45</v>
      </c>
      <c r="I28" s="2">
        <f>(B26+B27*0.08+B28*0.08+B25)</f>
        <v>4</v>
      </c>
      <c r="J28" s="4" t="s">
        <v>52</v>
      </c>
      <c r="K28" s="14">
        <v>24.76</v>
      </c>
      <c r="L28" s="14">
        <f t="shared" si="0"/>
        <v>35159.200000000004</v>
      </c>
      <c r="N28" s="14">
        <f t="shared" si="1"/>
        <v>140636.80000000002</v>
      </c>
    </row>
    <row r="29" spans="1:14">
      <c r="A29" s="1" t="s">
        <v>13</v>
      </c>
      <c r="B29" s="1">
        <v>25</v>
      </c>
      <c r="C29" s="4" t="s">
        <v>8</v>
      </c>
      <c r="H29" s="1" t="s">
        <v>46</v>
      </c>
      <c r="I29" s="2">
        <f>B37*50</f>
        <v>0</v>
      </c>
      <c r="J29" s="4" t="s">
        <v>53</v>
      </c>
      <c r="K29" s="14">
        <v>0.19400000000000001</v>
      </c>
      <c r="L29" s="14">
        <f t="shared" si="0"/>
        <v>275.48</v>
      </c>
      <c r="N29" s="14">
        <f t="shared" si="1"/>
        <v>0</v>
      </c>
    </row>
    <row r="30" spans="1:14">
      <c r="A30" s="1" t="s">
        <v>41</v>
      </c>
      <c r="B30" s="1">
        <v>0</v>
      </c>
      <c r="C30" s="4" t="s">
        <v>8</v>
      </c>
      <c r="H30" s="1" t="s">
        <v>47</v>
      </c>
      <c r="I30" s="2">
        <f>B38*15</f>
        <v>450</v>
      </c>
      <c r="J30" s="4" t="s">
        <v>53</v>
      </c>
      <c r="K30" s="14">
        <v>0.54</v>
      </c>
      <c r="L30" s="14">
        <f t="shared" si="0"/>
        <v>766.80000000000007</v>
      </c>
      <c r="N30" s="14">
        <f t="shared" si="1"/>
        <v>345060.00000000006</v>
      </c>
    </row>
    <row r="31" spans="1:14">
      <c r="A31" s="1" t="s">
        <v>14</v>
      </c>
      <c r="B31" s="1">
        <v>50</v>
      </c>
      <c r="C31" s="4" t="s">
        <v>8</v>
      </c>
      <c r="H31" s="1" t="s">
        <v>48</v>
      </c>
      <c r="I31" s="2">
        <f>B39*15</f>
        <v>0</v>
      </c>
      <c r="J31" s="4" t="s">
        <v>53</v>
      </c>
      <c r="K31" s="14">
        <v>0.72899999999999998</v>
      </c>
      <c r="L31" s="14">
        <f t="shared" si="0"/>
        <v>1035.18</v>
      </c>
      <c r="N31" s="14">
        <f t="shared" si="1"/>
        <v>0</v>
      </c>
    </row>
    <row r="32" spans="1:14">
      <c r="A32" s="1" t="s">
        <v>18</v>
      </c>
      <c r="B32" s="1">
        <v>0</v>
      </c>
      <c r="C32" s="4" t="s">
        <v>8</v>
      </c>
      <c r="H32" s="1" t="s">
        <v>49</v>
      </c>
      <c r="I32" s="2">
        <f>B40/12+B41/12</f>
        <v>0</v>
      </c>
      <c r="J32" s="4" t="s">
        <v>53</v>
      </c>
      <c r="K32" s="14">
        <v>95</v>
      </c>
      <c r="L32" s="14">
        <f t="shared" si="0"/>
        <v>134900</v>
      </c>
      <c r="N32" s="14">
        <f t="shared" si="1"/>
        <v>0</v>
      </c>
    </row>
    <row r="33" spans="1:14">
      <c r="A33" s="1" t="s">
        <v>20</v>
      </c>
      <c r="B33" s="1">
        <v>0</v>
      </c>
      <c r="C33" s="4" t="s">
        <v>8</v>
      </c>
      <c r="H33" s="1" t="s">
        <v>70</v>
      </c>
      <c r="I33" s="2">
        <f>B40*2</f>
        <v>0</v>
      </c>
      <c r="J33" s="4" t="s">
        <v>53</v>
      </c>
      <c r="K33" s="14">
        <v>4.6399999999999997</v>
      </c>
      <c r="L33" s="14">
        <f t="shared" si="0"/>
        <v>6588.7999999999993</v>
      </c>
      <c r="N33" s="14">
        <f t="shared" si="1"/>
        <v>0</v>
      </c>
    </row>
    <row r="34" spans="1:14">
      <c r="A34" s="1" t="s">
        <v>42</v>
      </c>
      <c r="B34" s="1">
        <v>0</v>
      </c>
      <c r="C34" s="4" t="s">
        <v>8</v>
      </c>
      <c r="H34" s="1" t="s">
        <v>71</v>
      </c>
      <c r="I34" s="2">
        <f>B41*2</f>
        <v>0</v>
      </c>
      <c r="J34" s="4" t="s">
        <v>51</v>
      </c>
      <c r="K34" s="14">
        <v>6.47</v>
      </c>
      <c r="L34" s="14">
        <f t="shared" si="0"/>
        <v>9187.4</v>
      </c>
      <c r="N34" s="14">
        <f t="shared" si="1"/>
        <v>0</v>
      </c>
    </row>
    <row r="35" spans="1:14">
      <c r="A35" s="1" t="s">
        <v>22</v>
      </c>
      <c r="B35" s="1">
        <v>50</v>
      </c>
      <c r="C35" s="4" t="s">
        <v>8</v>
      </c>
      <c r="H35" s="1" t="s">
        <v>50</v>
      </c>
      <c r="I35" s="2">
        <f>B35/9</f>
        <v>5.5555555555555554</v>
      </c>
      <c r="J35" s="4" t="s">
        <v>51</v>
      </c>
      <c r="K35" s="14">
        <v>5.63</v>
      </c>
      <c r="L35" s="14">
        <f t="shared" si="0"/>
        <v>7994.5999999999995</v>
      </c>
      <c r="N35" s="14">
        <f t="shared" si="1"/>
        <v>44414.444444444438</v>
      </c>
    </row>
    <row r="36" spans="1:14">
      <c r="A36" s="1" t="s">
        <v>23</v>
      </c>
      <c r="B36" s="1">
        <v>0</v>
      </c>
      <c r="C36" s="4" t="s">
        <v>8</v>
      </c>
      <c r="H36" s="1" t="s">
        <v>23</v>
      </c>
      <c r="I36" s="2">
        <f>B36/8.5</f>
        <v>0</v>
      </c>
      <c r="J36" s="4" t="s">
        <v>51</v>
      </c>
      <c r="K36" s="14">
        <v>4.5999999999999996</v>
      </c>
      <c r="L36" s="14">
        <f t="shared" si="0"/>
        <v>6531.9999999999991</v>
      </c>
      <c r="N36" s="14">
        <f t="shared" si="1"/>
        <v>0</v>
      </c>
    </row>
    <row r="37" spans="1:14">
      <c r="A37" s="1" t="s">
        <v>30</v>
      </c>
      <c r="B37" s="1">
        <v>0</v>
      </c>
      <c r="C37" s="4" t="s">
        <v>8</v>
      </c>
      <c r="H37" s="1" t="s">
        <v>56</v>
      </c>
      <c r="I37" s="1">
        <f>0.075*B42</f>
        <v>0</v>
      </c>
      <c r="J37" s="1" t="s">
        <v>57</v>
      </c>
      <c r="K37" s="14"/>
      <c r="L37" s="14">
        <f t="shared" si="0"/>
        <v>0</v>
      </c>
      <c r="N37" s="14">
        <f t="shared" si="1"/>
        <v>0</v>
      </c>
    </row>
    <row r="38" spans="1:14">
      <c r="A38" s="1" t="s">
        <v>32</v>
      </c>
      <c r="B38" s="1">
        <v>30</v>
      </c>
      <c r="C38" s="4" t="s">
        <v>8</v>
      </c>
      <c r="H38" s="1" t="s">
        <v>62</v>
      </c>
      <c r="I38" s="1">
        <f>B24*8.33+B25*8.33</f>
        <v>24.990000000000002</v>
      </c>
      <c r="J38" s="1" t="s">
        <v>53</v>
      </c>
      <c r="K38" s="14">
        <v>4.1500000000000004</v>
      </c>
      <c r="L38" s="14">
        <f t="shared" si="0"/>
        <v>5893.0000000000009</v>
      </c>
      <c r="N38" s="14">
        <f t="shared" si="1"/>
        <v>147266.07</v>
      </c>
    </row>
    <row r="39" spans="1:14">
      <c r="A39" s="1" t="s">
        <v>33</v>
      </c>
      <c r="B39" s="1">
        <v>0</v>
      </c>
      <c r="C39" s="4" t="s">
        <v>8</v>
      </c>
      <c r="H39" s="1" t="s">
        <v>63</v>
      </c>
      <c r="I39" s="1">
        <f>B24*8.33+B25*8.33</f>
        <v>24.990000000000002</v>
      </c>
      <c r="J39" s="1" t="s">
        <v>53</v>
      </c>
      <c r="K39" s="14">
        <v>10.98</v>
      </c>
      <c r="L39" s="14">
        <f t="shared" si="0"/>
        <v>15591.6</v>
      </c>
      <c r="N39" s="14">
        <f t="shared" si="1"/>
        <v>389634.08400000009</v>
      </c>
    </row>
    <row r="40" spans="1:14">
      <c r="A40" s="1" t="s">
        <v>35</v>
      </c>
      <c r="B40" s="1">
        <v>0</v>
      </c>
      <c r="C40" s="4" t="s">
        <v>8</v>
      </c>
      <c r="H40" s="1" t="s">
        <v>66</v>
      </c>
      <c r="I40" s="1">
        <f>B45*15</f>
        <v>0</v>
      </c>
      <c r="J40" s="1" t="s">
        <v>67</v>
      </c>
      <c r="K40" s="14">
        <v>0.41</v>
      </c>
      <c r="L40" s="14">
        <f t="shared" si="0"/>
        <v>582.19999999999993</v>
      </c>
      <c r="N40" s="14">
        <f t="shared" si="1"/>
        <v>0</v>
      </c>
    </row>
    <row r="41" spans="1:14">
      <c r="A41" s="1" t="s">
        <v>36</v>
      </c>
      <c r="B41" s="1">
        <v>0</v>
      </c>
      <c r="C41" s="4" t="s">
        <v>8</v>
      </c>
      <c r="N41" s="14">
        <f>SUM(N25:N40)</f>
        <v>1423738.1184444446</v>
      </c>
    </row>
    <row r="42" spans="1:14">
      <c r="A42" s="1" t="s">
        <v>54</v>
      </c>
      <c r="B42" s="1">
        <v>0</v>
      </c>
      <c r="C42" s="1" t="s">
        <v>55</v>
      </c>
    </row>
    <row r="43" spans="1:14">
      <c r="A43" s="1" t="s">
        <v>58</v>
      </c>
      <c r="B43" s="1">
        <v>0</v>
      </c>
      <c r="C43" s="1" t="s">
        <v>55</v>
      </c>
    </row>
    <row r="44" spans="1:14">
      <c r="A44" s="1" t="s">
        <v>59</v>
      </c>
      <c r="B44" s="1">
        <v>0</v>
      </c>
      <c r="C44" s="1" t="s">
        <v>55</v>
      </c>
    </row>
    <row r="45" spans="1:14">
      <c r="A45" s="1" t="s">
        <v>65</v>
      </c>
      <c r="B45" s="1">
        <v>0</v>
      </c>
      <c r="C45" s="1" t="s">
        <v>8</v>
      </c>
    </row>
  </sheetData>
  <pageMargins left="0.70866141732283472" right="0.70866141732283472" top="0.74803149606299213" bottom="0.74803149606299213" header="0.31496062992125984" footer="0.31496062992125984"/>
  <pageSetup paperSize="9" scale="94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cp:lastPrinted>2026-05-26T18:52:22Z</cp:lastPrinted>
  <dcterms:created xsi:type="dcterms:W3CDTF">2020-06-13T13:01:23Z</dcterms:created>
  <dcterms:modified xsi:type="dcterms:W3CDTF">2026-05-26T19:32:20Z</dcterms:modified>
</cp:coreProperties>
</file>